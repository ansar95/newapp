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AB" sheetId="1" r:id="rId1"/>
    <sheet name="Rincian Fitur" sheetId="2" r:id="rId2"/>
    <sheet name="Tarif" sheetId="3" r:id="rId3"/>
  </sheets>
  <definedNames>
    <definedName name="_xlnm.Print_Area" localSheetId="0">RAB!$A$1:$G$63</definedName>
    <definedName name="_xlnm.Print_Titles" localSheetId="1">'Rincian Fitur'!$4:$4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&gt;=1000000]#&quot;.&quot;###&quot;.&quot;###;[&gt;=1000]#&quot;.&quot;###;0"/>
  </numFmts>
  <fonts count="9">
    <font>
      <sz val="10"/>
      <name val="Calibri"/>
      <family val="2"/>
    </font>
    <font>
      <b/>
      <sz val="14"/>
      <color rgb="FF6E141E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i/>
      <sz val="1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6E141E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F8E4E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6E141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8" fillId="0" borderId="2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3.8"/>
  <cols>
    <col min="1" max="1" width="5" customWidth="1"/>
    <col min="2" max="2" width="58" customWidth="1"/>
    <col min="3" max="3" width="20" customWidth="1"/>
    <col min="4" max="4" width="7" customWidth="1"/>
    <col min="5" max="5" width="7" customWidth="1"/>
    <col min="6" max="6" width="14" customWidth="1"/>
    <col min="7" max="7" width="16" customWidth="1"/>
  </cols>
  <sheetData>
    <row r="1" ht="20" customHeight="1">
      <c r="A1" s="1" t="inlineStr">
        <is>
          <t xml:space="preserve">[NAMA PERUSAHAAN]</t>
        </is>
      </c>
    </row>
    <row r="2">
      <c r="A2" s="2" t="inlineStr">
        <is>
          <t xml:space="preserve">[Alamat Perusahaan]  |  [Telepon]  |  [Email]</t>
        </is>
      </c>
      <c r="B2" s="2"/>
      <c r="C2" s="2"/>
      <c r="D2" s="2"/>
      <c r="E2" s="2"/>
      <c r="F2" s="2"/>
      <c r="G2" s="2"/>
    </row>
    <row r="3" ht="26" customHeight="1">
      <c r="A3" s="3" t="inlineStr">
        <is>
          <t xml:space="preserve">RENCANA ANGGARAN BIAYA (RAB)</t>
        </is>
      </c>
    </row>
    <row r="4">
      <c r="A4" s="4" t="inlineStr">
        <is>
          <t xml:space="preserve">Pengembangan Aplikasi PM Cost Control (Project Management &amp; Cost Control)</t>
        </is>
      </c>
    </row>
    <row r="6">
      <c r="A6" s="6" t="inlineStr">
        <is>
          <r>
            <rPr>
              <b/>
              <sz val="10"/>
              <rFont val="Calibri"/>
              <family val="2"/>
            </rPr>
            <t xml:space="preserve">Nomor: </t>
          </r>
          <r>
            <rPr>
              <sz val="10"/>
              <rFont val="Calibri"/>
              <family val="2"/>
            </rPr>
            <t xml:space="preserve">[Nomor Dokumen]</t>
          </r>
        </is>
      </c>
    </row>
    <row r="7">
      <c r="A7" s="6" t="inlineStr">
        <is>
          <r>
            <rPr>
              <b/>
              <sz val="10"/>
              <rFont val="Calibri"/>
              <family val="2"/>
            </rPr>
            <t xml:space="preserve">Tanggal: </t>
          </r>
          <r>
            <rPr>
              <sz val="10"/>
              <rFont val="Calibri"/>
              <family val="2"/>
            </rPr>
            <t xml:space="preserve">10 Oktober 2026</t>
          </r>
        </is>
      </c>
    </row>
    <row r="8">
      <c r="A8" s="6" t="inlineStr">
        <is>
          <r>
            <rPr>
              <b/>
              <sz val="10"/>
              <rFont val="Calibri"/>
              <family val="2"/>
            </rPr>
            <t xml:space="preserve">Kepada: </t>
          </r>
          <r>
            <rPr>
              <sz val="10"/>
              <rFont val="Calibri"/>
              <family val="2"/>
            </rPr>
            <t xml:space="preserve">[Nama Client]</t>
          </r>
        </is>
      </c>
    </row>
    <row r="9">
      <c r="A9" s="6" t="inlineStr">
        <is>
          <r>
            <rPr>
              <b/>
              <sz val="10"/>
              <rFont val="Calibri"/>
              <family val="2"/>
            </rPr>
            <t xml:space="preserve">Pekerjaan: </t>
          </r>
          <r>
            <rPr>
              <sz val="10"/>
              <rFont val="Calibri"/>
              <family val="2"/>
            </rPr>
            <t xml:space="preserve">Pengembangan aplikasi web PM Cost Control beserta instalasi, pelatihan, dan infrastruktur 1 tahun</t>
          </r>
        </is>
      </c>
    </row>
    <row r="11" ht="28" customHeight="1">
      <c r="A11" s="7" t="inlineStr">
        <is>
          <t xml:space="preserve">No</t>
        </is>
      </c>
      <c r="B11" s="7" t="inlineStr">
        <is>
          <t xml:space="preserve">Uraian Pekerjaan</t>
        </is>
      </c>
      <c r="C11" s="7" t="inlineStr">
        <is>
          <t xml:space="preserve">Pelaksana</t>
        </is>
      </c>
      <c r="D11" s="7" t="inlineStr">
        <is>
          <t xml:space="preserve">Vol</t>
        </is>
      </c>
      <c r="E11" s="7" t="inlineStr">
        <is>
          <t xml:space="preserve">Sat</t>
        </is>
      </c>
      <c r="F11" s="7" t="inlineStr">
        <is>
          <t xml:space="preserve">Harga Satuan (Rp)</t>
        </is>
      </c>
      <c r="G11" s="7" t="inlineStr">
        <is>
          <t xml:space="preserve">Jumlah (Rp)</t>
        </is>
      </c>
    </row>
    <row r="12" ht="16" customHeight="1">
      <c r="A12" s="8" t="inlineStr">
        <is>
          <t xml:space="preserve">A</t>
        </is>
      </c>
      <c r="B12" s="9" t="inlineStr">
        <is>
          <t xml:space="preserve">ANALISIS KEBUTUHAN &amp; DESAIN SISTEM</t>
        </is>
      </c>
      <c r="C12" s="9"/>
      <c r="D12" s="9"/>
      <c r="E12" s="9"/>
      <c r="F12" s="9"/>
      <c r="G12" s="9"/>
    </row>
    <row r="13" ht="15" customHeight="1">
      <c r="A13" s="10">
        <v>1</v>
      </c>
      <c r="B13" s="11" t="inlineStr">
        <is>
          <t xml:space="preserve">Analisis kebutuhan &amp; proses bisnis (workshop dengan user)</t>
        </is>
      </c>
      <c r="C13" s="11" t="inlineStr">
        <is>
          <t xml:space="preserve">System Analyst</t>
        </is>
      </c>
      <c r="D13" s="10">
        <v>5</v>
      </c>
      <c r="E13" s="10" t="inlineStr">
        <is>
          <t xml:space="preserve">OH</t>
        </is>
      </c>
      <c r="F13" s="12">
        <f>Tarif!$C$5</f>
        <v>1500000</v>
      </c>
      <c r="G13" s="12">
        <f>D13*F13</f>
        <v>7500000</v>
      </c>
    </row>
    <row r="14" ht="15" customHeight="1">
      <c r="A14" s="10">
        <v>2</v>
      </c>
      <c r="B14" s="11" t="inlineStr">
        <is>
          <t xml:space="preserve">Perancangan alur kerja, pembagian hak akses role &amp; struktur database</t>
        </is>
      </c>
      <c r="C14" s="11" t="inlineStr">
        <is>
          <t xml:space="preserve">System Analyst</t>
        </is>
      </c>
      <c r="D14" s="10">
        <v>4</v>
      </c>
      <c r="E14" s="10" t="inlineStr">
        <is>
          <t xml:space="preserve">OH</t>
        </is>
      </c>
      <c r="F14" s="12">
        <f>Tarif!$C$5</f>
        <v>1500000</v>
      </c>
      <c r="G14" s="12">
        <f>D14*F14</f>
        <v>6000000</v>
      </c>
    </row>
    <row r="15" ht="15" customHeight="1">
      <c r="A15" s="10">
        <v>3</v>
      </c>
      <c r="B15" s="11" t="inlineStr">
        <is>
          <t xml:space="preserve">Desain UI/UX (wireframe &amp; tampilan aplikasi)</t>
        </is>
      </c>
      <c r="C15" s="11" t="inlineStr">
        <is>
          <t xml:space="preserve">UI/UX Designer</t>
        </is>
      </c>
      <c r="D15" s="10">
        <v>4</v>
      </c>
      <c r="E15" s="10" t="inlineStr">
        <is>
          <t xml:space="preserve">OH</t>
        </is>
      </c>
      <c r="F15" s="12">
        <f>Tarif!$C$6</f>
        <v>1000000</v>
      </c>
      <c r="G15" s="12">
        <f>D15*F15</f>
        <v>4000000</v>
      </c>
    </row>
    <row r="16" ht="16" customHeight="1">
      <c r="A16" s="13"/>
      <c r="B16" s="13" t="inlineStr">
        <is>
          <t xml:space="preserve">Subtotal A</t>
        </is>
      </c>
      <c r="C16" s="13"/>
      <c r="D16" s="13"/>
      <c r="E16" s="13"/>
      <c r="F16" s="13"/>
      <c r="G16" s="14">
        <f>SUM(G13:G15)</f>
        <v>17500000</v>
      </c>
    </row>
    <row r="17" ht="16" customHeight="1">
      <c r="A17" s="8" t="inlineStr">
        <is>
          <t xml:space="preserve">B</t>
        </is>
      </c>
      <c r="B17" s="9" t="inlineStr">
        <is>
          <t xml:space="preserve">PENGEMBANGAN APLIKASI (PER MODUL)</t>
        </is>
      </c>
      <c r="C17" s="9"/>
      <c r="D17" s="9"/>
      <c r="E17" s="9"/>
      <c r="F17" s="9"/>
      <c r="G17" s="9"/>
    </row>
    <row r="18" ht="15" customHeight="1">
      <c r="A18" s="10">
        <v>1</v>
      </c>
      <c r="B18" s="11" t="inlineStr">
        <is>
          <t xml:space="preserve">Autentikasi, Manajemen User &amp; Hak Akses (6 role)</t>
        </is>
      </c>
      <c r="C18" s="11" t="inlineStr">
        <is>
          <t xml:space="preserve">Full-stack Developer</t>
        </is>
      </c>
      <c r="D18" s="10">
        <v>4</v>
      </c>
      <c r="E18" s="10" t="inlineStr">
        <is>
          <t xml:space="preserve">OH</t>
        </is>
      </c>
      <c r="F18" s="12">
        <f>Tarif!$C$7</f>
        <v>1250000</v>
      </c>
      <c r="G18" s="12">
        <f>D18*F18</f>
        <v>5000000</v>
      </c>
    </row>
    <row r="19" ht="15" customHeight="1">
      <c r="A19" s="10">
        <v>2</v>
      </c>
      <c r="B19" s="11" t="inlineStr">
        <is>
          <t xml:space="preserve">Master Project (data kontrak &amp; status)</t>
        </is>
      </c>
      <c r="C19" s="11" t="inlineStr">
        <is>
          <t xml:space="preserve">Full-stack Developer</t>
        </is>
      </c>
      <c r="D19" s="10">
        <v>3</v>
      </c>
      <c r="E19" s="10" t="inlineStr">
        <is>
          <t xml:space="preserve">OH</t>
        </is>
      </c>
      <c r="F19" s="12">
        <f>Tarif!$C$7</f>
        <v>1250000</v>
      </c>
      <c r="G19" s="12">
        <f>D19*F19</f>
        <v>3750000</v>
      </c>
    </row>
    <row r="20" ht="15" customHeight="1">
      <c r="A20" s="10">
        <v>3</v>
      </c>
      <c r="B20" s="11" t="inlineStr">
        <is>
          <t xml:space="preserve">BOQ &amp; COGS (item pekerjaan, harga material/jasa, revisi)</t>
        </is>
      </c>
      <c r="C20" s="11" t="inlineStr">
        <is>
          <t xml:space="preserve">Full-stack Developer</t>
        </is>
      </c>
      <c r="D20" s="10">
        <v>8</v>
      </c>
      <c r="E20" s="10" t="inlineStr">
        <is>
          <t xml:space="preserve">OH</t>
        </is>
      </c>
      <c r="F20" s="12">
        <f>Tarif!$C$7</f>
        <v>1250000</v>
      </c>
      <c r="G20" s="12">
        <f>D20*F20</f>
        <v>10000000</v>
      </c>
    </row>
    <row r="21" ht="15" customHeight="1">
      <c r="A21" s="10">
        <v>4</v>
      </c>
      <c r="B21" s="11" t="inlineStr">
        <is>
          <t xml:space="preserve">Approval BOQ (pengajuan, review, approve, permintaan revisi)</t>
        </is>
      </c>
      <c r="C21" s="11" t="inlineStr">
        <is>
          <t xml:space="preserve">Full-stack Developer</t>
        </is>
      </c>
      <c r="D21" s="10">
        <v>4</v>
      </c>
      <c r="E21" s="10" t="inlineStr">
        <is>
          <t xml:space="preserve">OH</t>
        </is>
      </c>
      <c r="F21" s="12">
        <f>Tarif!$C$7</f>
        <v>1250000</v>
      </c>
      <c r="G21" s="12">
        <f>D21*F21</f>
        <v>5000000</v>
      </c>
    </row>
    <row r="22" ht="15" customHeight="1">
      <c r="A22" s="10">
        <v>5</v>
      </c>
      <c r="B22" s="11" t="inlineStr">
        <is>
          <t xml:space="preserve">Payment Plan &amp; Pembayaran Pekerjaan</t>
        </is>
      </c>
      <c r="C22" s="11" t="inlineStr">
        <is>
          <t xml:space="preserve">Full-stack Developer</t>
        </is>
      </c>
      <c r="D22" s="10">
        <v>6</v>
      </c>
      <c r="E22" s="10" t="inlineStr">
        <is>
          <t xml:space="preserve">OH</t>
        </is>
      </c>
      <c r="F22" s="12">
        <f>Tarif!$C$7</f>
        <v>1250000</v>
      </c>
      <c r="G22" s="12">
        <f>D22*F22</f>
        <v>7500000</v>
      </c>
    </row>
    <row r="23" ht="15" customHeight="1">
      <c r="A23" s="10">
        <v>6</v>
      </c>
      <c r="B23" s="11" t="inlineStr">
        <is>
          <t xml:space="preserve">Progress Fisik &amp; Earned Value</t>
        </is>
      </c>
      <c r="C23" s="11" t="inlineStr">
        <is>
          <t xml:space="preserve">Full-stack Developer</t>
        </is>
      </c>
      <c r="D23" s="10">
        <v>3</v>
      </c>
      <c r="E23" s="10" t="inlineStr">
        <is>
          <t xml:space="preserve">OH</t>
        </is>
      </c>
      <c r="F23" s="12">
        <f>Tarif!$C$7</f>
        <v>1250000</v>
      </c>
      <c r="G23" s="12">
        <f>D23*F23</f>
        <v>3750000</v>
      </c>
    </row>
    <row r="24" ht="15" customHeight="1">
      <c r="A24" s="10">
        <v>7</v>
      </c>
      <c r="B24" s="11" t="inlineStr">
        <is>
          <t xml:space="preserve">Pengadaan: BMHP, Aset &amp; Sewa Alat (pengajuan s/d pembayaran)</t>
        </is>
      </c>
      <c r="C24" s="11" t="inlineStr">
        <is>
          <t xml:space="preserve">Full-stack Developer</t>
        </is>
      </c>
      <c r="D24" s="10">
        <v>8</v>
      </c>
      <c r="E24" s="10" t="inlineStr">
        <is>
          <t xml:space="preserve">OH</t>
        </is>
      </c>
      <c r="F24" s="12">
        <f>Tarif!$C$7</f>
        <v>1250000</v>
      </c>
      <c r="G24" s="12">
        <f>D24*F24</f>
        <v>10000000</v>
      </c>
    </row>
    <row r="25" ht="15" customHeight="1">
      <c r="A25" s="10">
        <v>8</v>
      </c>
      <c r="B25" s="11" t="inlineStr">
        <is>
          <t xml:space="preserve">Alokasi Biaya BMHP &amp; Sewa Alat ke Item BOQ</t>
        </is>
      </c>
      <c r="C25" s="11" t="inlineStr">
        <is>
          <t xml:space="preserve">Full-stack Developer</t>
        </is>
      </c>
      <c r="D25" s="10">
        <v>4</v>
      </c>
      <c r="E25" s="10" t="inlineStr">
        <is>
          <t xml:space="preserve">OH</t>
        </is>
      </c>
      <c r="F25" s="12">
        <f>Tarif!$C$7</f>
        <v>1250000</v>
      </c>
      <c r="G25" s="12">
        <f>D25*F25</f>
        <v>5000000</v>
      </c>
    </row>
    <row r="26" ht="15" customHeight="1">
      <c r="A26" s="10">
        <v>9</v>
      </c>
      <c r="B26" s="11" t="inlineStr">
        <is>
          <t xml:space="preserve">Manajemen Aset (master, permintaan, penugasan ke project)</t>
        </is>
      </c>
      <c r="C26" s="11" t="inlineStr">
        <is>
          <t xml:space="preserve">Full-stack Developer</t>
        </is>
      </c>
      <c r="D26" s="10">
        <v>6</v>
      </c>
      <c r="E26" s="10" t="inlineStr">
        <is>
          <t xml:space="preserve">OH</t>
        </is>
      </c>
      <c r="F26" s="12">
        <f>Tarif!$C$7</f>
        <v>1250000</v>
      </c>
      <c r="G26" s="12">
        <f>D26*F26</f>
        <v>7500000</v>
      </c>
    </row>
    <row r="27" ht="15" customHeight="1">
      <c r="A27" s="10">
        <v>10</v>
      </c>
      <c r="B27" s="11" t="inlineStr">
        <is>
          <t xml:space="preserve">Cost Control: Biaya Aktual vs BOQ &amp; Variance</t>
        </is>
      </c>
      <c r="C27" s="11" t="inlineStr">
        <is>
          <t xml:space="preserve">Full-stack Developer</t>
        </is>
      </c>
      <c r="D27" s="10">
        <v>4</v>
      </c>
      <c r="E27" s="10" t="inlineStr">
        <is>
          <t xml:space="preserve">OH</t>
        </is>
      </c>
      <c r="F27" s="12">
        <f>Tarif!$C$7</f>
        <v>1250000</v>
      </c>
      <c r="G27" s="12">
        <f>D27*F27</f>
        <v>5000000</v>
      </c>
    </row>
    <row r="28" ht="15" customHeight="1">
      <c r="A28" s="10">
        <v>11</v>
      </c>
      <c r="B28" s="11" t="inlineStr">
        <is>
          <t xml:space="preserve">Penagihan Client (termin, invoice, pembayaran client, piutang)</t>
        </is>
      </c>
      <c r="C28" s="11" t="inlineStr">
        <is>
          <t xml:space="preserve">Full-stack Developer</t>
        </is>
      </c>
      <c r="D28" s="10">
        <v>8</v>
      </c>
      <c r="E28" s="10" t="inlineStr">
        <is>
          <t xml:space="preserve">OH</t>
        </is>
      </c>
      <c r="F28" s="12">
        <f>Tarif!$C$7</f>
        <v>1250000</v>
      </c>
      <c r="G28" s="12">
        <f>D28*F28</f>
        <v>10000000</v>
      </c>
    </row>
    <row r="29" ht="15" customHeight="1">
      <c r="A29" s="10">
        <v>12</v>
      </c>
      <c r="B29" s="11" t="inlineStr">
        <is>
          <t xml:space="preserve">Dokumen Project (versi, review client, revisi, approval)</t>
        </is>
      </c>
      <c r="C29" s="11" t="inlineStr">
        <is>
          <t xml:space="preserve">Full-stack Developer</t>
        </is>
      </c>
      <c r="D29" s="10">
        <v>7</v>
      </c>
      <c r="E29" s="10" t="inlineStr">
        <is>
          <t xml:space="preserve">OH</t>
        </is>
      </c>
      <c r="F29" s="12">
        <f>Tarif!$C$7</f>
        <v>1250000</v>
      </c>
      <c r="G29" s="12">
        <f>D29*F29</f>
        <v>8750000</v>
      </c>
    </row>
    <row r="30" ht="15" customHeight="1">
      <c r="A30" s="10">
        <v>13</v>
      </c>
      <c r="B30" s="11" t="inlineStr">
        <is>
          <t xml:space="preserve">Dashboard</t>
        </is>
      </c>
      <c r="C30" s="11" t="inlineStr">
        <is>
          <t xml:space="preserve">Full-stack Developer</t>
        </is>
      </c>
      <c r="D30" s="10">
        <v>3</v>
      </c>
      <c r="E30" s="10" t="inlineStr">
        <is>
          <t xml:space="preserve">OH</t>
        </is>
      </c>
      <c r="F30" s="12">
        <f>Tarif!$C$7</f>
        <v>1250000</v>
      </c>
      <c r="G30" s="12">
        <f>D30*F30</f>
        <v>3750000</v>
      </c>
    </row>
    <row r="31" ht="15" customHeight="1">
      <c r="A31" s="10">
        <v>14</v>
      </c>
      <c r="B31" s="11" t="inlineStr">
        <is>
          <t xml:space="preserve">Laporan Global (Project, Finance, Progress, Variance, Aset)</t>
        </is>
      </c>
      <c r="C31" s="11" t="inlineStr">
        <is>
          <t xml:space="preserve">Full-stack Developer</t>
        </is>
      </c>
      <c r="D31" s="10">
        <v>5</v>
      </c>
      <c r="E31" s="10" t="inlineStr">
        <is>
          <t xml:space="preserve">OH</t>
        </is>
      </c>
      <c r="F31" s="12">
        <f>Tarif!$C$7</f>
        <v>1250000</v>
      </c>
      <c r="G31" s="12">
        <f>D31*F31</f>
        <v>6250000</v>
      </c>
    </row>
    <row r="32" ht="15" customHeight="1">
      <c r="A32" s="10">
        <v>15</v>
      </c>
      <c r="B32" s="11" t="inlineStr">
        <is>
          <t xml:space="preserve">Laporan per Project (8 jenis laporan, export CSV, cetak/PDF)</t>
        </is>
      </c>
      <c r="C32" s="11" t="inlineStr">
        <is>
          <t xml:space="preserve">Full-stack Developer</t>
        </is>
      </c>
      <c r="D32" s="10">
        <v>5</v>
      </c>
      <c r="E32" s="10" t="inlineStr">
        <is>
          <t xml:space="preserve">OH</t>
        </is>
      </c>
      <c r="F32" s="12">
        <f>Tarif!$C$7</f>
        <v>1250000</v>
      </c>
      <c r="G32" s="12">
        <f>D32*F32</f>
        <v>6250000</v>
      </c>
    </row>
    <row r="33" ht="16" customHeight="1">
      <c r="A33" s="13"/>
      <c r="B33" s="13" t="inlineStr">
        <is>
          <t xml:space="preserve">Subtotal B</t>
        </is>
      </c>
      <c r="C33" s="13"/>
      <c r="D33" s="13"/>
      <c r="E33" s="13"/>
      <c r="F33" s="13"/>
      <c r="G33" s="14">
        <f>SUM(G18:G32)</f>
        <v>97500000</v>
      </c>
    </row>
    <row r="34" ht="16" customHeight="1">
      <c r="A34" s="8" t="inlineStr">
        <is>
          <t xml:space="preserve">C</t>
        </is>
      </c>
      <c r="B34" s="9" t="inlineStr">
        <is>
          <t xml:space="preserve">INSTALASI &amp; DEPLOYMENT</t>
        </is>
      </c>
      <c r="C34" s="9"/>
      <c r="D34" s="9"/>
      <c r="E34" s="9"/>
      <c r="F34" s="9"/>
      <c r="G34" s="9"/>
    </row>
    <row r="35" ht="15" customHeight="1">
      <c r="A35" s="10">
        <v>1</v>
      </c>
      <c r="B35" s="11" t="inlineStr">
        <is>
          <t xml:space="preserve">Setup server: web server, PHP, database, SSL, keamanan dasar</t>
        </is>
      </c>
      <c r="C35" s="11" t="inlineStr">
        <is>
          <t xml:space="preserve">DevOps Engineer</t>
        </is>
      </c>
      <c r="D35" s="10">
        <v>2</v>
      </c>
      <c r="E35" s="10" t="inlineStr">
        <is>
          <t xml:space="preserve">OH</t>
        </is>
      </c>
      <c r="F35" s="12">
        <f>Tarif!$C$8</f>
        <v>1250000</v>
      </c>
      <c r="G35" s="12">
        <f>D35*F35</f>
        <v>2500000</v>
      </c>
    </row>
    <row r="36" ht="28" customHeight="1">
      <c r="A36" s="10">
        <v>2</v>
      </c>
      <c r="B36" s="11" t="inlineStr">
        <is>
          <t xml:space="preserve">Deployment aplikasi, migrasi database &amp; input data awal (user, master)</t>
        </is>
      </c>
      <c r="C36" s="11" t="inlineStr">
        <is>
          <t xml:space="preserve">DevOps Engineer</t>
        </is>
      </c>
      <c r="D36" s="10">
        <v>2</v>
      </c>
      <c r="E36" s="10" t="inlineStr">
        <is>
          <t xml:space="preserve">OH</t>
        </is>
      </c>
      <c r="F36" s="12">
        <f>Tarif!$C$8</f>
        <v>1250000</v>
      </c>
      <c r="G36" s="12">
        <f>D36*F36</f>
        <v>2500000</v>
      </c>
    </row>
    <row r="37" ht="16" customHeight="1">
      <c r="A37" s="13"/>
      <c r="B37" s="13" t="inlineStr">
        <is>
          <t xml:space="preserve">Subtotal C</t>
        </is>
      </c>
      <c r="C37" s="13"/>
      <c r="D37" s="13"/>
      <c r="E37" s="13"/>
      <c r="F37" s="13"/>
      <c r="G37" s="14">
        <f>SUM(G35:G36)</f>
        <v>5000000</v>
      </c>
    </row>
    <row r="38" ht="16" customHeight="1">
      <c r="A38" s="8" t="inlineStr">
        <is>
          <t xml:space="preserve">D</t>
        </is>
      </c>
      <c r="B38" s="9" t="inlineStr">
        <is>
          <t xml:space="preserve">PELATIHAN &amp; DOKUMENTASI</t>
        </is>
      </c>
      <c r="C38" s="9"/>
      <c r="D38" s="9"/>
      <c r="E38" s="9"/>
      <c r="F38" s="9"/>
      <c r="G38" s="9"/>
    </row>
    <row r="39" ht="15" customHeight="1">
      <c r="A39" s="10">
        <v>1</v>
      </c>
      <c r="B39" s="11" t="inlineStr">
        <is>
          <t xml:space="preserve">Pelatihan pengguna per role (6 role)</t>
        </is>
      </c>
      <c r="C39" s="11" t="inlineStr">
        <is>
          <t xml:space="preserve">Trainer</t>
        </is>
      </c>
      <c r="D39" s="10">
        <v>2</v>
      </c>
      <c r="E39" s="10" t="inlineStr">
        <is>
          <t xml:space="preserve">OH</t>
        </is>
      </c>
      <c r="F39" s="12">
        <f>Tarif!$C$9</f>
        <v>1000000</v>
      </c>
      <c r="G39" s="12">
        <f>D39*F39</f>
        <v>2000000</v>
      </c>
    </row>
    <row r="40" ht="15" customHeight="1">
      <c r="A40" s="10">
        <v>2</v>
      </c>
      <c r="B40" s="11" t="inlineStr">
        <is>
          <t xml:space="preserve">Buku panduan pengguna (user manual)</t>
        </is>
      </c>
      <c r="C40" s="11" t="inlineStr">
        <is>
          <t xml:space="preserve">Technical Writer</t>
        </is>
      </c>
      <c r="D40" s="10">
        <v>3</v>
      </c>
      <c r="E40" s="10" t="inlineStr">
        <is>
          <t xml:space="preserve">OH</t>
        </is>
      </c>
      <c r="F40" s="12">
        <f>Tarif!$C$10</f>
        <v>1000000</v>
      </c>
      <c r="G40" s="12">
        <f>D40*F40</f>
        <v>3000000</v>
      </c>
    </row>
    <row r="41" ht="15" customHeight="1">
      <c r="A41" s="10">
        <v>3</v>
      </c>
      <c r="B41" s="11" t="inlineStr">
        <is>
          <t xml:space="preserve">Dokumentasi teknis &amp; serah terima source code</t>
        </is>
      </c>
      <c r="C41" s="11" t="inlineStr">
        <is>
          <t xml:space="preserve">Technical Writer</t>
        </is>
      </c>
      <c r="D41" s="10">
        <v>2</v>
      </c>
      <c r="E41" s="10" t="inlineStr">
        <is>
          <t xml:space="preserve">OH</t>
        </is>
      </c>
      <c r="F41" s="12">
        <f>Tarif!$C$10</f>
        <v>1000000</v>
      </c>
      <c r="G41" s="12">
        <f>D41*F41</f>
        <v>2000000</v>
      </c>
    </row>
    <row r="42" ht="16" customHeight="1">
      <c r="A42" s="13"/>
      <c r="B42" s="13" t="inlineStr">
        <is>
          <t xml:space="preserve">Subtotal D</t>
        </is>
      </c>
      <c r="C42" s="13"/>
      <c r="D42" s="13"/>
      <c r="E42" s="13"/>
      <c r="F42" s="13"/>
      <c r="G42" s="14">
        <f>SUM(G39:G41)</f>
        <v>7000000</v>
      </c>
    </row>
    <row r="43" ht="16" customHeight="1">
      <c r="A43" s="8" t="inlineStr">
        <is>
          <t xml:space="preserve">E</t>
        </is>
      </c>
      <c r="B43" s="9" t="inlineStr">
        <is>
          <t xml:space="preserve">INFRASTRUKTUR (1 TAHUN)</t>
        </is>
      </c>
      <c r="C43" s="9"/>
      <c r="D43" s="9"/>
      <c r="E43" s="9"/>
      <c r="F43" s="9"/>
      <c r="G43" s="9"/>
    </row>
    <row r="44" ht="15" customHeight="1">
      <c r="A44" s="10">
        <v>1</v>
      </c>
      <c r="B44" s="11" t="inlineStr">
        <is>
          <t xml:space="preserve">Cloud server / VPS (2 vCPU, 4 GB RAM, 80 GB SSD)</t>
        </is>
      </c>
      <c r="C44" s="11" t="inlineStr">
        <is>
          <t xml:space="preserve">Penyedia cloud</t>
        </is>
      </c>
      <c r="D44" s="10">
        <v>12</v>
      </c>
      <c r="E44" s="10" t="inlineStr">
        <is>
          <t xml:space="preserve">Bulan</t>
        </is>
      </c>
      <c r="F44" s="12">
        <v>350000</v>
      </c>
      <c r="G44" s="12">
        <f>D44*F44</f>
        <v>4200000</v>
      </c>
    </row>
    <row r="45" ht="15" customHeight="1">
      <c r="A45" s="10">
        <v>2</v>
      </c>
      <c r="B45" s="11" t="inlineStr">
        <is>
          <t xml:space="preserve">Domain (.com / .co.id)</t>
        </is>
      </c>
      <c r="C45" s="11" t="inlineStr">
        <is>
          <t xml:space="preserve">Registrar domain</t>
        </is>
      </c>
      <c r="D45" s="10">
        <v>1</v>
      </c>
      <c r="E45" s="10" t="inlineStr">
        <is>
          <t xml:space="preserve">Tahun</t>
        </is>
      </c>
      <c r="F45" s="12">
        <v>300000</v>
      </c>
      <c r="G45" s="12">
        <f>D45*F45</f>
        <v>300000</v>
      </c>
    </row>
    <row r="46" ht="15" customHeight="1">
      <c r="A46" s="10">
        <v>3</v>
      </c>
      <c r="B46" s="11" t="inlineStr">
        <is>
          <t xml:space="preserve">Backup otomatis harian (storage cadangan)</t>
        </is>
      </c>
      <c r="C46" s="11" t="inlineStr">
        <is>
          <t xml:space="preserve">Penyedia cloud</t>
        </is>
      </c>
      <c r="D46" s="10">
        <v>12</v>
      </c>
      <c r="E46" s="10" t="inlineStr">
        <is>
          <t xml:space="preserve">Bulan</t>
        </is>
      </c>
      <c r="F46" s="12">
        <v>100000</v>
      </c>
      <c r="G46" s="12">
        <f>D46*F46</f>
        <v>1200000</v>
      </c>
    </row>
    <row r="47" ht="16" customHeight="1">
      <c r="A47" s="13"/>
      <c r="B47" s="13" t="inlineStr">
        <is>
          <t xml:space="preserve">Subtotal E</t>
        </is>
      </c>
      <c r="C47" s="13"/>
      <c r="D47" s="13"/>
      <c r="E47" s="13"/>
      <c r="F47" s="13"/>
      <c r="G47" s="14">
        <f>SUM(G44:G46)</f>
        <v>5700000</v>
      </c>
    </row>
    <row r="48" ht="22" customHeight="1">
      <c r="A48" s="15"/>
      <c r="B48" s="15" t="inlineStr">
        <is>
          <t xml:space="preserve">TOTAL BIAYA (A + B + C + D + E)</t>
        </is>
      </c>
      <c r="C48" s="15"/>
      <c r="D48" s="15"/>
      <c r="E48" s="15"/>
      <c r="F48" s="15"/>
      <c r="G48" s="16">
        <f>G16+G33+G37+G42+G47</f>
        <v>132700000</v>
      </c>
    </row>
    <row r="49" ht="24" customHeight="1">
      <c r="A49" s="17" t="inlineStr">
        <is>
          <t xml:space="preserve">Terbilang: Seratus tiga puluh dua juta tujuh ratus ribu rupiah</t>
        </is>
      </c>
    </row>
    <row r="50">
      <c r="A50" s="19" t="inlineStr">
        <is>
          <t xml:space="preserve">Catatan:</t>
        </is>
      </c>
    </row>
    <row r="51" ht="14" customHeight="1">
      <c r="A51" s="18" t="inlineStr">
        <is>
          <t xml:space="preserve">1. OH = Orang-Hari (1 orang bekerja 8 jam). Estimasi pengembangan sudah termasuk pengujian internal oleh developer.</t>
        </is>
      </c>
    </row>
    <row r="52" ht="14" customHeight="1">
      <c r="A52" s="18" t="inlineStr">
        <is>
          <t xml:space="preserve">2. Harga di atas adalah harga final dan tidak dikenakan PPN.</t>
        </is>
      </c>
    </row>
    <row r="53" ht="14" customHeight="1">
      <c r="A53" s="18" t="inlineStr">
        <is>
          <t xml:space="preserve">3. Biaya infrastruktur (server, domain, backup) berlaku untuk 1 tahun pertama; perpanjangan tahun berikutnya ditagihkan terpisah.</t>
        </is>
      </c>
    </row>
    <row r="54" ht="14" customHeight="1">
      <c r="A54" s="18" t="inlineStr">
        <is>
          <t xml:space="preserve">4. Penambahan atau perubahan fitur di luar lembar "Rincian Fitur" dihitung terpisah (change request).</t>
        </is>
      </c>
    </row>
    <row r="55" ht="14" customHeight="1">
      <c r="A55" s="18" t="inlineStr">
        <is>
          <t xml:space="preserve">5. Rincian lingkup setiap modul terlampir pada lembar "Rincian Fitur".</t>
        </is>
      </c>
    </row>
    <row r="57">
      <c r="B57" s="20" t="inlineStr">
        <is>
          <t xml:space="preserve">Disetujui oleh,</t>
        </is>
      </c>
      <c r="F57" s="20" t="inlineStr">
        <is>
          <t xml:space="preserve">[Kota], 10 Oktober 2026</t>
        </is>
      </c>
    </row>
    <row r="58">
      <c r="B58" s="20" t="inlineStr">
        <is>
          <t xml:space="preserve">[Nama Client]</t>
        </is>
      </c>
      <c r="F58" s="20" t="inlineStr">
        <is>
          <t xml:space="preserve">[Nama Perusahaan]</t>
        </is>
      </c>
    </row>
    <row r="62">
      <c r="B62" s="20" t="inlineStr">
        <is>
          <t xml:space="preserve">( ____________________ )</t>
        </is>
      </c>
      <c r="F62" s="20" t="inlineStr">
        <is>
          <t xml:space="preserve">( [Nama Penanggung Jawab] )</t>
        </is>
      </c>
    </row>
    <row r="63">
      <c r="B63" s="20" t="inlineStr">
        <is>
          <t xml:space="preserve">Jabatan: ____________</t>
        </is>
      </c>
      <c r="F63" s="20" t="inlineStr">
        <is>
          <t xml:space="preserve">[Jabatan]</t>
        </is>
      </c>
    </row>
  </sheetData>
  <mergeCells count="25">
    <mergeCell ref="A1:G1"/>
    <mergeCell ref="A2:G2"/>
    <mergeCell ref="A3:G3"/>
    <mergeCell ref="A4:G4"/>
    <mergeCell ref="A6:G6"/>
    <mergeCell ref="A7:G7"/>
    <mergeCell ref="A8:G8"/>
    <mergeCell ref="A9:G9"/>
    <mergeCell ref="B16:F16"/>
    <mergeCell ref="B33:F33"/>
    <mergeCell ref="B37:F37"/>
    <mergeCell ref="B42:F42"/>
    <mergeCell ref="B47:F47"/>
    <mergeCell ref="B48:F48"/>
    <mergeCell ref="A49:G49"/>
    <mergeCell ref="A50:G50"/>
    <mergeCell ref="A51:G51"/>
    <mergeCell ref="A52:G52"/>
    <mergeCell ref="A53:G53"/>
    <mergeCell ref="A54:G54"/>
    <mergeCell ref="A55:G55"/>
    <mergeCell ref="F57:G57"/>
    <mergeCell ref="F58:G58"/>
    <mergeCell ref="F62:G62"/>
    <mergeCell ref="F63:G63"/>
  </mergeCells>
  <pageMargins left="0.59" right="0.59" top="0.59" bottom="0.59" header="0.3" footer="0.3"/>
  <pageSetup paperSize="9" orientation="portrait" fitToWidth="1" fitToHeight="1"/>
  <headerFooter>
    <oddFooter>&amp;CHalaman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3.8"/>
  <cols>
    <col min="1" max="1" width="5" customWidth="1"/>
    <col min="2" max="2" width="34" customWidth="1"/>
    <col min="3" max="3" width="72" customWidth="1"/>
    <col min="4" max="4" width="10" customWidth="1"/>
  </cols>
  <sheetData>
    <row r="1" ht="20" customHeight="1">
      <c r="A1" s="21" t="inlineStr">
        <is>
          <t xml:space="preserve">LAMPIRAN: RINCIAN FITUR APLIKASI PM COST CONTROL</t>
        </is>
      </c>
    </row>
    <row r="2">
      <c r="A2" s="22" t="inlineStr">
        <is>
          <t xml:space="preserve">Lingkup pekerjaan bagian B (Pengembangan Aplikasi) pada RAB.</t>
        </is>
      </c>
    </row>
    <row r="4" ht="28" customHeight="1">
      <c r="A4" s="7" t="inlineStr">
        <is>
          <t xml:space="preserve">No</t>
        </is>
      </c>
      <c r="B4" s="7" t="inlineStr">
        <is>
          <t xml:space="preserve">Modul</t>
        </is>
      </c>
      <c r="C4" s="7" t="inlineStr">
        <is>
          <t xml:space="preserve">Rincian Fitur</t>
        </is>
      </c>
      <c r="D4" s="7" t="inlineStr">
        <is>
          <t xml:space="preserve">Estimasi (OH)</t>
        </is>
      </c>
    </row>
    <row r="5" ht="69" customHeight="1">
      <c r="A5" s="10">
        <v>1</v>
      </c>
      <c r="B5" s="23" t="inlineStr">
        <is>
          <t xml:space="preserve">Autentikasi, Manajemen User &amp; Hak Akses (6 role)</t>
        </is>
      </c>
      <c r="C5" s="11" t="inlineStr">
        <is>
          <t xml:space="preserve">- Login, logout, reset password, profil user
- 6 role: Superadmin, Project Admin, BOQ &amp; Cost Control, Approver, Finance, Project Site
- Hak akses per fitur (permission) sesuai role
- Pengaturan role user oleh Superadmin</t>
        </is>
      </c>
      <c r="D5" s="24">
        <v>4</v>
      </c>
    </row>
    <row r="6" ht="56" customHeight="1">
      <c r="A6" s="10">
        <v>2</v>
      </c>
      <c r="B6" s="23" t="inlineStr">
        <is>
          <t xml:space="preserve">Master Project (data kontrak &amp; status)</t>
        </is>
      </c>
      <c r="C6" s="11" t="inlineStr">
        <is>
          <t xml:space="preserve">- Data project, client, nomor &amp; nilai kontrak, tanggal mulai dan target selesai
- Status project
- Peringatan kontrak akan berakhir / sudah lewat
- Hapus project (khusus Superadmin)</t>
        </is>
      </c>
      <c r="D6" s="24">
        <v>3</v>
      </c>
    </row>
    <row r="7" ht="56" customHeight="1">
      <c r="A7" s="10">
        <v>3</v>
      </c>
      <c r="B7" s="23" t="inlineStr">
        <is>
          <t xml:space="preserve">BOQ &amp; COGS (item pekerjaan, harga material/jasa, revisi)</t>
        </is>
      </c>
      <c r="C7" s="11" t="inlineStr">
        <is>
          <t xml:space="preserve">- Penyusunan BOQ per kelompok COGS dan item pekerjaan
- Harga satuan terpisah Material dan Jasa
- Import item COGS dari template
- Revisi BOQ beserta riwayat perubahan</t>
        </is>
      </c>
      <c r="D7" s="24">
        <v>8</v>
      </c>
    </row>
    <row r="8" ht="29" customHeight="1">
      <c r="A8" s="10">
        <v>4</v>
      </c>
      <c r="B8" s="23" t="inlineStr">
        <is>
          <t xml:space="preserve">Approval BOQ (pengajuan, review, approve, permintaan revisi)</t>
        </is>
      </c>
      <c r="C8" s="11" t="inlineStr">
        <is>
          <t xml:space="preserve">- Pengajuan BOQ dan antrian approval
- Review, approve, atau minta revisi dengan catatan</t>
        </is>
      </c>
      <c r="D8" s="24">
        <v>4</v>
      </c>
    </row>
    <row r="9" ht="43" customHeight="1">
      <c r="A9" s="10">
        <v>5</v>
      </c>
      <c r="B9" s="23" t="inlineStr">
        <is>
          <t xml:space="preserve">Payment Plan &amp; Pembayaran Pekerjaan</t>
        </is>
      </c>
      <c r="C9" s="11" t="inlineStr">
        <is>
          <t xml:space="preserve">- Rencana pembayaran yang terhubung ke item BOQ
- Proses pembayaran: tanggal, metode, nomor referensi
- Void pembayaran dengan alasan, alasan overrun</t>
        </is>
      </c>
      <c r="D9" s="24">
        <v>6</v>
      </c>
    </row>
    <row r="10" ht="43" customHeight="1">
      <c r="A10" s="10">
        <v>6</v>
      </c>
      <c r="B10" s="23" t="inlineStr">
        <is>
          <t xml:space="preserve">Progress Fisik &amp; Earned Value</t>
        </is>
      </c>
      <c r="C10" s="11" t="inlineStr">
        <is>
          <t xml:space="preserve">- Update progress per item pekerjaan
- Bobot item, progress COGS / BOQ / project
- Nilai pekerjaan selesai (earned value)</t>
        </is>
      </c>
      <c r="D10" s="24">
        <v>3</v>
      </c>
    </row>
    <row r="11" ht="82" customHeight="1">
      <c r="A11" s="10">
        <v>7</v>
      </c>
      <c r="B11" s="23" t="inlineStr">
        <is>
          <t xml:space="preserve">Pengadaan: BMHP, Aset &amp; Sewa Alat (pengajuan s/d pembayaran)</t>
        </is>
      </c>
      <c r="C11" s="11" t="inlineStr">
        <is>
          <t xml:space="preserve">- Permintaan BMHP, Aset, dan Sewa Alat per project
- Alur Draft -&gt; Diajukan -&gt; Disetujui (Approver) -&gt; Dibayar (Finance), kembalikan ke draft, pembatalan
- Pencatatan pembayaran, nomor invoice, upload bukti bayar
- Import daftar BMHP dari file CSV (template disediakan)
- Aset otomatis tercatat setelah pembelian dibayar</t>
        </is>
      </c>
      <c r="D11" s="24">
        <v>8</v>
      </c>
    </row>
    <row r="12" ht="29" customHeight="1">
      <c r="A12" s="10">
        <v>8</v>
      </c>
      <c r="B12" s="23" t="inlineStr">
        <is>
          <t xml:space="preserve">Alokasi Biaya BMHP &amp; Sewa Alat ke Item BOQ</t>
        </is>
      </c>
      <c r="C12" s="11" t="inlineStr">
        <is>
          <t xml:space="preserve">- Alokasi nilai BMHP dan sewa alat ke item BOQ
- Alokasi dapat diubah, langsung menjadi biaya aktual item</t>
        </is>
      </c>
      <c r="D12" s="24">
        <v>4</v>
      </c>
    </row>
    <row r="13" ht="43" customHeight="1">
      <c r="A13" s="10">
        <v>9</v>
      </c>
      <c r="B13" s="23" t="inlineStr">
        <is>
          <t xml:space="preserve">Manajemen Aset (master, permintaan, penugasan ke project)</t>
        </is>
      </c>
      <c r="C13" s="11" t="inlineStr">
        <is>
          <t xml:space="preserve">- Master aset: kode, kategori, merk, model, kondisi
- Permintaan aset, import &amp; export data aset
- Penugasan aset ke project dan pengembalian</t>
        </is>
      </c>
      <c r="D13" s="24">
        <v>6</v>
      </c>
    </row>
    <row r="14" ht="43" customHeight="1">
      <c r="A14" s="10">
        <v>10</v>
      </c>
      <c r="B14" s="23" t="inlineStr">
        <is>
          <t xml:space="preserve">Cost Control: Biaya Aktual vs BOQ &amp; Variance</t>
        </is>
      </c>
      <c r="C14" s="11" t="inlineStr">
        <is>
          <t xml:space="preserve">- Biaya aktual = BMHP + Sewa Alat + Pembayaran pekerjaan
- Perbandingan dengan nilai BOQ per item, COGS, dan project
- Status Normal / Warning (&gt;= 90%) / Over Budget</t>
        </is>
      </c>
      <c r="D14" s="24">
        <v>4</v>
      </c>
    </row>
    <row r="15" ht="69" customHeight="1">
      <c r="A15" s="10">
        <v>11</v>
      </c>
      <c r="B15" s="23" t="inlineStr">
        <is>
          <t xml:space="preserve">Penagihan Client (termin, invoice, pembayaran client, piutang)</t>
        </is>
      </c>
      <c r="C15" s="11" t="inlineStr">
        <is>
          <t xml:space="preserve">- Termin pembayaran (persentase / nilai tetap) dari nilai kontrak
- Syarat penagihan: progress fisik, tanggal, milestone, manual
- Pemberitahuan "lakukan penagihan" saat syarat termin tercapai
- Penagihan: draft, ajukan, kirim invoice, batal
- Pencatatan pembayaran client, piutang, dan jatuh tempo</t>
        </is>
      </c>
      <c r="D15" s="24">
        <v>8</v>
      </c>
    </row>
    <row r="16" ht="43" customHeight="1">
      <c r="A16" s="10">
        <v>12</v>
      </c>
      <c r="B16" s="23" t="inlineStr">
        <is>
          <t xml:space="preserve">Dokumen Project (versi, review client, revisi, approval)</t>
        </is>
      </c>
      <c r="C16" s="11" t="inlineStr">
        <is>
          <t xml:space="preserve">- Jenis dokumen dan upload dokumen dengan versi
- Alur: submit, review client, revisi, resubmit, approve, batal
- Riwayat status, durasi menunggu, monitoring dokumen tertunda</t>
        </is>
      </c>
      <c r="D16" s="24">
        <v>7</v>
      </c>
    </row>
    <row r="17" ht="16" customHeight="1">
      <c r="A17" s="10">
        <v>13</v>
      </c>
      <c r="B17" s="23" t="inlineStr">
        <is>
          <t xml:space="preserve">Dashboard</t>
        </is>
      </c>
      <c r="C17" s="11" t="inlineStr">
        <is>
          <t xml:space="preserve">- Ringkasan project, approval tertunda, peringatan kontrak</t>
        </is>
      </c>
      <c r="D17" s="24">
        <v>3</v>
      </c>
    </row>
    <row r="18" ht="29" customHeight="1">
      <c r="A18" s="10">
        <v>14</v>
      </c>
      <c r="B18" s="23" t="inlineStr">
        <is>
          <t xml:space="preserve">Laporan Global (Project, Finance, Progress, Variance, Aset)</t>
        </is>
      </c>
      <c r="C18" s="11" t="inlineStr">
        <is>
          <t xml:space="preserve">- Laporan Project, Finance, Progress, Variance, dan Aset
- Filter laporan dan export CSV</t>
        </is>
      </c>
      <c r="D18" s="24">
        <v>5</v>
      </c>
    </row>
    <row r="19" ht="43" customHeight="1">
      <c r="A19" s="10">
        <v>15</v>
      </c>
      <c r="B19" s="23" t="inlineStr">
        <is>
          <t xml:space="preserve">Laporan per Project (8 jenis laporan, export CSV, cetak/PDF)</t>
        </is>
      </c>
      <c r="C19" s="11" t="inlineStr">
        <is>
          <t xml:space="preserve">- Ringkasan, Progress, Permintaan &amp; Pembelian, Biaya vs BOQ, Pembayaran, Penagihan, Aset, Dokumen
- Filter periode, export CSV, cetak / simpan PDF</t>
        </is>
      </c>
      <c r="D19" s="24">
        <v>5</v>
      </c>
    </row>
  </sheetData>
  <mergeCells count="2">
    <mergeCell ref="A1:D1"/>
    <mergeCell ref="A2:D2"/>
  </mergeCells>
  <pageMargins left="0.59" right="0.59" top="0.59" bottom="0.59" header="0.3" footer="0.3"/>
  <pageSetup paperSize="9" orientation="portrait" fitToWidth="1" fitToHeight="0"/>
  <headerFooter>
    <oddFooter>&amp;CHalaman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3.8"/>
  <cols>
    <col min="1" max="1" width="5" customWidth="1"/>
    <col min="2" max="2" width="24" customWidth="1"/>
    <col min="3" max="3" width="16" customWidth="1"/>
    <col min="4" max="4" width="62" customWidth="1"/>
  </cols>
  <sheetData>
    <row r="1">
      <c r="A1" s="21" t="inlineStr">
        <is>
          <t xml:space="preserve">TARIF TENAGA KERJA (PER ORANG-HARI)</t>
        </is>
      </c>
    </row>
    <row r="2">
      <c r="A2" s="22" t="inlineStr">
        <is>
          <t xml:space="preserve">Ubah tarif pada kolom C; harga satuan di lembar RAB akan ikut berubah.</t>
        </is>
      </c>
    </row>
    <row r="4">
      <c r="A4" s="7" t="inlineStr">
        <is>
          <t xml:space="preserve">No</t>
        </is>
      </c>
      <c r="B4" s="7" t="inlineStr">
        <is>
          <t xml:space="preserve">Pelaksana</t>
        </is>
      </c>
      <c r="C4" s="7" t="inlineStr">
        <is>
          <t xml:space="preserve">Tarif / OH (Rp)</t>
        </is>
      </c>
      <c r="D4" s="7" t="inlineStr">
        <is>
          <t xml:space="preserve">Lingkup</t>
        </is>
      </c>
    </row>
    <row r="5">
      <c r="A5" s="10">
        <v>1</v>
      </c>
      <c r="B5" s="11" t="inlineStr">
        <is>
          <t xml:space="preserve">System Analyst</t>
        </is>
      </c>
      <c r="C5" s="12">
        <v>1500000</v>
      </c>
      <c r="D5" s="11" t="inlineStr">
        <is>
          <t xml:space="preserve">Analisis proses bisnis, alur kerja, hak akses, desain database</t>
        </is>
      </c>
    </row>
    <row r="6">
      <c r="A6" s="10">
        <v>2</v>
      </c>
      <c r="B6" s="11" t="inlineStr">
        <is>
          <t xml:space="preserve">UI/UX Designer</t>
        </is>
      </c>
      <c r="C6" s="12">
        <v>1000000</v>
      </c>
      <c r="D6" s="11" t="inlineStr">
        <is>
          <t xml:space="preserve">Wireframe dan desain tampilan aplikasi</t>
        </is>
      </c>
    </row>
    <row r="7">
      <c r="A7" s="10">
        <v>3</v>
      </c>
      <c r="B7" s="11" t="inlineStr">
        <is>
          <t xml:space="preserve">Full-stack Developer</t>
        </is>
      </c>
      <c r="C7" s="12">
        <v>1250000</v>
      </c>
      <c r="D7" s="11" t="inlineStr">
        <is>
          <t xml:space="preserve">Pemrograman backend Laravel &amp; frontend, termasuk pengujian internal</t>
        </is>
      </c>
    </row>
    <row r="8">
      <c r="A8" s="10">
        <v>4</v>
      </c>
      <c r="B8" s="11" t="inlineStr">
        <is>
          <t xml:space="preserve">DevOps Engineer</t>
        </is>
      </c>
      <c r="C8" s="12">
        <v>1250000</v>
      </c>
      <c r="D8" s="11" t="inlineStr">
        <is>
          <t xml:space="preserve">Setup server, keamanan, deployment</t>
        </is>
      </c>
    </row>
    <row r="9">
      <c r="A9" s="10">
        <v>5</v>
      </c>
      <c r="B9" s="11" t="inlineStr">
        <is>
          <t xml:space="preserve">Trainer</t>
        </is>
      </c>
      <c r="C9" s="12">
        <v>1000000</v>
      </c>
      <c r="D9" s="11" t="inlineStr">
        <is>
          <t xml:space="preserve">Pelatihan pengguna per role</t>
        </is>
      </c>
    </row>
    <row r="10">
      <c r="A10" s="10">
        <v>6</v>
      </c>
      <c r="B10" s="11" t="inlineStr">
        <is>
          <t xml:space="preserve">Technical Writer</t>
        </is>
      </c>
      <c r="C10" s="12">
        <v>1000000</v>
      </c>
      <c r="D10" s="11" t="inlineStr">
        <is>
          <t xml:space="preserve">Penyusunan buku panduan &amp; dokumentasi teknis</t>
        </is>
      </c>
    </row>
    <row r="12">
      <c r="A12" s="22" t="inlineStr">
        <is>
          <t xml:space="preserve">OH = Orang-Hari (1 orang bekerja 8 jam).</t>
        </is>
      </c>
    </row>
  </sheetData>
  <mergeCells count="2">
    <mergeCell ref="A1:D1"/>
    <mergeCell ref="A2:D2"/>
  </mergeCells>
  <pageMargins left="0.59" right="0.59" top="0.59" bottom="0.59" header="0.3" footer="0.3"/>
  <pageSetup paperSize="9" orientation="portrait" fitToWidth="1" fitToHeight="0"/>
  <headerFooter>
    <oddFooter>&amp;CHalaman &amp;P dari &amp;N</oddFooter>
  </headerFooter>
</worksheet>
</file>